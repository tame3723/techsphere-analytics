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main Summary" sheetId="1" state="visible" r:id="rId3"/>
    <sheet name="Company Detail" sheetId="2" state="visible" r:id="rId4"/>
    <sheet name="YoY Trend" sheetId="3" state="visible" r:id="rId5"/>
    <sheet name="Source Directo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<sst xmlns="http://schemas.openxmlformats.org/spreadsheetml/2006/main" count="433" uniqueCount="255">
  <si>
    <t xml:space="preserve">Tech Industry Layoffs — Domain-wise Dataset  |  2022–2025</t>
  </si>
  <si>
    <t xml:space="preserve">Sources: Layoffs.fyi · TrueUp · TechCrunch · Crunchbase · Computerworld · Bloomberry · LeadDev/TalentNeuron · CompTIA · Pragmatic Engineer</t>
  </si>
  <si>
    <t xml:space="preserve">Domain</t>
  </si>
  <si>
    <t xml:space="preserve">Approx. Total
Workforce (2022)</t>
  </si>
  <si>
    <t xml:space="preserve">2022
Layoffs</t>
  </si>
  <si>
    <t xml:space="preserve">2023
Layoffs</t>
  </si>
  <si>
    <t xml:space="preserve">2024
Layoffs</t>
  </si>
  <si>
    <t xml:space="preserve">2025
Layoffs</t>
  </si>
  <si>
    <t xml:space="preserve">Total
(2022–25)</t>
  </si>
  <si>
    <t xml:space="preserve">% of 2022
Workforce</t>
  </si>
  <si>
    <t xml:space="preserve">YoY Change
2024→2025</t>
  </si>
  <si>
    <t xml:space="preserve">Trend</t>
  </si>
  <si>
    <t xml:space="preserve">Primary Drivers</t>
  </si>
  <si>
    <t xml:space="preserve">2026 Outlook</t>
  </si>
  <si>
    <t xml:space="preserve">Software Engineering</t>
  </si>
  <si>
    <t xml:space="preserve">▼</t>
  </si>
  <si>
    <t xml:space="preserve">Post-COVID over-hiring; product discontinuations; AI coding tools reducing junior SWE demand; Section 174 US tax change</t>
  </si>
  <si>
    <t xml:space="preserve">297% projected sector growth by 2035 (CompTIA); demand rebounding for AI-augmented SWEs; senior roles resilient</t>
  </si>
  <si>
    <t xml:space="preserve">Web Development
(Front-end / Full-stack)</t>
  </si>
  <si>
    <t xml:space="preserve">Front-end job postings fell 25% (2024–25, TalentNeuron); AI tools (Bolt, Lovable) compressing UI build time; startup funding drought</t>
  </si>
  <si>
    <t xml:space="preserve">Full-stack postings +9% (2024–25); AI-augmented web dev roles growing; pure front-end roles declining gradually</t>
  </si>
  <si>
    <t xml:space="preserve">DevOps / Platform Eng.</t>
  </si>
  <si>
    <t xml:space="preserve">Cloud cost rationalisation; platform team consolidation; AI-driven CI/CD automation reducing headcount needs</t>
  </si>
  <si>
    <t xml:space="preserve">Among top 15% in-demand roles (Robert Half 2025); AI Ops hybrid roles emerging; senior DevOps resilient</t>
  </si>
  <si>
    <t xml:space="preserve">Data Science</t>
  </si>
  <si>
    <t xml:space="preserve">LLM tools automating analyst workflows; consolidation of BI &amp; DS teams; stricter ROI scrutiny on analytics budgets</t>
  </si>
  <si>
    <t xml:space="preserve">414% projected growth for data roles by 2035 (CompTIA); pivot to AI/ML data engineering &amp; LLMOps in demand</t>
  </si>
  <si>
    <t xml:space="preserve">AI / ML Engineering</t>
  </si>
  <si>
    <t xml:space="preserve">Startup failures; model consolidation by big tech; AI team restructuring post-hype cycle; VC funding drought for AI-only startups</t>
  </si>
  <si>
    <t xml:space="preserve">Net positive; GenAI postings +170% YoY (Indeed Hiring Lab 2025); 125% higher demand for AI-focused devs vs 2023</t>
  </si>
  <si>
    <t xml:space="preserve">Cybersecurity</t>
  </si>
  <si>
    <t xml:space="preserve">M&amp;A-driven consolidation (Cisco-Splunk, Sophos-Secureworks); DOGE federal cuts (CISA -130); Yahoo -25% cyber team</t>
  </si>
  <si>
    <t xml:space="preserve">2nd fastest-growing skill globally (WEF); 367% projected growth by 2035 (CompTIA); chronic talent supply gap</t>
  </si>
  <si>
    <t xml:space="preserve">Cloud Computing</t>
  </si>
  <si>
    <t xml:space="preserve">Cloud spend optimisation; AWS/Azure/GCP internal efficiency drives; infra team right-sizing post-pandemic build-out</t>
  </si>
  <si>
    <t xml:space="preserve">AI infra investment rebounding; cloud engineers among top 15% in-demand roles (Robert Half 2025 Hiring Trends)</t>
  </si>
  <si>
    <t xml:space="preserve">GRAND TOTAL (All Domains)</t>
  </si>
  <si>
    <t xml:space="preserve">AI restructuring + economic pressures + M&amp;A consolidation + post-COVID correction</t>
  </si>
  <si>
    <t xml:space="preserve">Stabilisation underway; 2025 saw ~20% fewer layoffs vs 2024 (Layoffs.fyi)</t>
  </si>
  <si>
    <t xml:space="preserve">Notable Company-level Layoff Events by Domain  |  2022–2025</t>
  </si>
  <si>
    <t xml:space="preserve">Note: Domain attribution is based on primary role areas impacted as reported by TechCrunch, Crunchbase, Computerworld, tech.co, and CrashBytes</t>
  </si>
  <si>
    <t xml:space="preserve">Company</t>
  </si>
  <si>
    <t xml:space="preserve">Year</t>
  </si>
  <si>
    <t xml:space="preserve">Layoffs (#)</t>
  </si>
  <si>
    <t xml:space="preserve">% Workforce</t>
  </si>
  <si>
    <t xml:space="preserve">HQ Region</t>
  </si>
  <si>
    <t xml:space="preserve">Reason / Context</t>
  </si>
  <si>
    <t xml:space="preserve">Data Source</t>
  </si>
  <si>
    <t xml:space="preserve">URL</t>
  </si>
  <si>
    <t xml:space="preserve">Google / Alphabet</t>
  </si>
  <si>
    <t xml:space="preserve">6%</t>
  </si>
  <si>
    <t xml:space="preserve">Global</t>
  </si>
  <si>
    <t xml:space="preserve">Over-hiring correction; revenue slowdown across ads &amp; cloud units</t>
  </si>
  <si>
    <t xml:space="preserve">Crunchbase / TechCrunch</t>
  </si>
  <si>
    <t xml:space="preserve">https://news.crunchbase.com/startups/tech-layoffs/</t>
  </si>
  <si>
    <t xml:space="preserve">Amazon</t>
  </si>
  <si>
    <t xml:space="preserve">5%</t>
  </si>
  <si>
    <t xml:space="preserve">Pandemic workforce excess; AWS + retail realignment</t>
  </si>
  <si>
    <t xml:space="preserve">TechCrunch</t>
  </si>
  <si>
    <t xml:space="preserve">https://techcrunch.com/2025/12/22/tech-layoffs-2025-list/</t>
  </si>
  <si>
    <t xml:space="preserve">Microsoft</t>
  </si>
  <si>
    <t xml:space="preserve">4%</t>
  </si>
  <si>
    <t xml:space="preserve">Gaming &amp; Activision integration; cost control post-Azure boom</t>
  </si>
  <si>
    <t xml:space="preserve">Computerworld</t>
  </si>
  <si>
    <t xml:space="preserve">https://www.computerworld.com/article/3816579/tech-layoffs-this-year-a-timeline.html</t>
  </si>
  <si>
    <t xml:space="preserve">Meta</t>
  </si>
  <si>
    <t xml:space="preserve">13%</t>
  </si>
  <si>
    <t xml:space="preserve">Year of Efficiency; post-metaverse pivot restructuring</t>
  </si>
  <si>
    <t xml:space="preserve">tech.co</t>
  </si>
  <si>
    <t xml:space="preserve">https://tech.co/news/tech-companies-layoffs</t>
  </si>
  <si>
    <t xml:space="preserve">Low-performer exit program; AI-driven restructuring</t>
  </si>
  <si>
    <t xml:space="preserve">Intel</t>
  </si>
  <si>
    <t xml:space="preserve">15%</t>
  </si>
  <si>
    <t xml:space="preserve">US/Global</t>
  </si>
  <si>
    <t xml:space="preserve">Revenue miss vs AI pivot; $10B cost reduction plan 2025</t>
  </si>
  <si>
    <t xml:space="preserve">3%</t>
  </si>
  <si>
    <t xml:space="preserve">Manager-layer reduction; focus on AI efficiency</t>
  </si>
  <si>
    <t xml:space="preserve">Salesforce</t>
  </si>
  <si>
    <t xml:space="preserve">10%</t>
  </si>
  <si>
    <t xml:space="preserve">Post-pandemic correction; Tableau/Slack integration overlap</t>
  </si>
  <si>
    <t xml:space="preserve">Salesforce Ben</t>
  </si>
  <si>
    <t xml:space="preserve">https://www.salesforceben.com/how-bad-were-tech-layoffs-in-2025-and-what-can-we-expect-next-year/</t>
  </si>
  <si>
    <t xml:space="preserve">7%</t>
  </si>
  <si>
    <t xml:space="preserve">AI agents replacing support &amp; operational roles; 4,000 support cuts</t>
  </si>
  <si>
    <t xml:space="preserve">Stripe</t>
  </si>
  <si>
    <t xml:space="preserve">14%</t>
  </si>
  <si>
    <t xml:space="preserve">US</t>
  </si>
  <si>
    <t xml:space="preserve">Burn rate reduction; overhiring during 2021 boom</t>
  </si>
  <si>
    <t xml:space="preserve">CrashBytes</t>
  </si>
  <si>
    <t xml:space="preserve">https://crashbytes.com/blog/tech-layoffs-2025-impact-software-engineer-strategies-ai-integration</t>
  </si>
  <si>
    <t xml:space="preserve">Shopify</t>
  </si>
  <si>
    <t xml:space="preserve">Web Development</t>
  </si>
  <si>
    <t xml:space="preserve">Canada/Global</t>
  </si>
  <si>
    <t xml:space="preserve">Post-COVID e-commerce normalisation; front-end &amp; UX team cuts</t>
  </si>
  <si>
    <t xml:space="preserve">Twitter / X</t>
  </si>
  <si>
    <t xml:space="preserve">50%</t>
  </si>
  <si>
    <t xml:space="preserve">Elon Musk acquisition; mass cuts including front-end teams</t>
  </si>
  <si>
    <t xml:space="preserve">Snap</t>
  </si>
  <si>
    <t xml:space="preserve">20%</t>
  </si>
  <si>
    <t xml:space="preserve">Ad revenue collapse; web &amp; mobile product team restructure</t>
  </si>
  <si>
    <t xml:space="preserve">Dropbox</t>
  </si>
  <si>
    <t xml:space="preserve">16%</t>
  </si>
  <si>
    <t xml:space="preserve">AI replacing internal web workflows; product team rightsizing</t>
  </si>
  <si>
    <t xml:space="preserve">Calendly</t>
  </si>
  <si>
    <t xml:space="preserve">SaaS slowdown; engineering, customer experience &amp; billing teams</t>
  </si>
  <si>
    <t xml:space="preserve">WordPress.com (Automattic)</t>
  </si>
  <si>
    <t xml:space="preserve">Product &amp; web engineering rightsizing post-growth plateau</t>
  </si>
  <si>
    <t xml:space="preserve">Amazon (AWS)</t>
  </si>
  <si>
    <t xml:space="preserve">2%</t>
  </si>
  <si>
    <t xml:space="preserve">AWS over-hiring; efficiency mandate; Twitch &amp; advertising dept.</t>
  </si>
  <si>
    <t xml:space="preserve">Crunchbase</t>
  </si>
  <si>
    <t xml:space="preserve">HPE</t>
  </si>
  <si>
    <t xml:space="preserve">19% share price decline Q1 2025; cloud portfolio rationalisation</t>
  </si>
  <si>
    <t xml:space="preserve">Twitch</t>
  </si>
  <si>
    <t xml:space="preserve">35%</t>
  </si>
  <si>
    <t xml:space="preserve">Business model pivot; streaming infrastructure cost savings</t>
  </si>
  <si>
    <t xml:space="preserve">GitHub (Microsoft)</t>
  </si>
  <si>
    <t xml:space="preserve">Post-acquisition integration; platform team redundancy</t>
  </si>
  <si>
    <t xml:space="preserve">Indeed / Glassdoor</t>
  </si>
  <si>
    <t xml:space="preserve">AI tools reducing analyst roles; Recruit Holdings restructuring</t>
  </si>
  <si>
    <t xml:space="preserve">Workday</t>
  </si>
  <si>
    <t xml:space="preserve">8.5%</t>
  </si>
  <si>
    <t xml:space="preserve">AI investment reallocation; disposing unused office space</t>
  </si>
  <si>
    <t xml:space="preserve">Adobe</t>
  </si>
  <si>
    <t xml:space="preserve">Cost control post-Figma deal collapse; analytics team cuts</t>
  </si>
  <si>
    <t xml:space="preserve">IBM</t>
  </si>
  <si>
    <t xml:space="preserve">Hybrid cloud/AI portfolio shift; Watson-era data roles phased out</t>
  </si>
  <si>
    <t xml:space="preserve">Various AI Startups</t>
  </si>
  <si>
    <t xml:space="preserve">n/a</t>
  </si>
  <si>
    <t xml:space="preserve">VC funding drought; model commoditisation; failed AI products</t>
  </si>
  <si>
    <t xml:space="preserve">Stability AI</t>
  </si>
  <si>
    <t xml:space="preserve">25%</t>
  </si>
  <si>
    <t xml:space="preserve">UK/US</t>
  </si>
  <si>
    <t xml:space="preserve">Cash crisis; co-founder departure; product pivot away from open models</t>
  </si>
  <si>
    <t xml:space="preserve">Scale AI</t>
  </si>
  <si>
    <t xml:space="preserve">Data labelling automation; restructure toward enterprise AI platform</t>
  </si>
  <si>
    <t xml:space="preserve">Cisco</t>
  </si>
  <si>
    <t xml:space="preserve">Post-Splunk acquisition redundancy; second 2024 layoff round</t>
  </si>
  <si>
    <t xml:space="preserve">Secureworks</t>
  </si>
  <si>
    <t xml:space="preserve">Acquired by Sophos for $859M; overlap elimination</t>
  </si>
  <si>
    <t xml:space="preserve">Yahoo</t>
  </si>
  <si>
    <t xml:space="preserve">~25% of team</t>
  </si>
  <si>
    <t xml:space="preserve">CTO Liborski-led cyber unit restructure</t>
  </si>
  <si>
    <t xml:space="preserve">CISA (US Gov)</t>
  </si>
  <si>
    <t xml:space="preserve">DOGE federal workforce reduction; cybersecurity experts alarmed</t>
  </si>
  <si>
    <t xml:space="preserve">Kaspersky</t>
  </si>
  <si>
    <t xml:space="preserve">UK office</t>
  </si>
  <si>
    <t xml:space="preserve">UK</t>
  </si>
  <si>
    <t xml:space="preserve">US federal ban; UK office closure; wind-down of Western ops</t>
  </si>
  <si>
    <t xml:space="preserve">Otorio</t>
  </si>
  <si>
    <t xml:space="preserve">~50%</t>
  </si>
  <si>
    <t xml:space="preserve">Israel</t>
  </si>
  <si>
    <t xml:space="preserve">Acquired by Armis for $120M; workforce integration cuts</t>
  </si>
  <si>
    <t xml:space="preserve">Dell Technologies</t>
  </si>
  <si>
    <t xml:space="preserve">Hardware revenue decline; cloud margin pressure; 10K SEC filing</t>
  </si>
  <si>
    <t xml:space="preserve">Equinix</t>
  </si>
  <si>
    <t xml:space="preserve">CEO transition (Fox-Martin); CISO/CIO departures; cost optimisation</t>
  </si>
  <si>
    <t xml:space="preserve">OpenText</t>
  </si>
  <si>
    <t xml:space="preserve">1.7%</t>
  </si>
  <si>
    <t xml:space="preserve">$100M annual savings target; sales &amp; engineering rehire in 2025</t>
  </si>
  <si>
    <t xml:space="preserve">Operations streamlining; reallocation toward AI infrastructure</t>
  </si>
  <si>
    <t xml:space="preserve">tech-insider.org</t>
  </si>
  <si>
    <t xml:space="preserve">https://tech-insider.org/tech-layoffs-2026-ai-workforce-impact/</t>
  </si>
  <si>
    <t xml:space="preserve">Year-over-Year Layoff Trend by Domain  |  2022–2025</t>
  </si>
  <si>
    <t xml:space="preserve">2022</t>
  </si>
  <si>
    <t xml:space="preserve">2023</t>
  </si>
  <si>
    <t xml:space="preserve">2024</t>
  </si>
  <si>
    <t xml:space="preserve">2025</t>
  </si>
  <si>
    <t xml:space="preserve">Peak Year</t>
  </si>
  <si>
    <t xml:space="preserve">Best Year (Fewest)</t>
  </si>
  <si>
    <t xml:space="preserve">4-Yr CAGR</t>
  </si>
  <si>
    <t xml:space="preserve">Web Dev (Front-end/Full-stack)</t>
  </si>
  <si>
    <t xml:space="preserve">GRAND TOTAL</t>
  </si>
  <si>
    <t xml:space="preserve">Source Directory — Where This Data Comes From</t>
  </si>
  <si>
    <t xml:space="preserve">Important: No single public dataset breaks layoffs by domain. Figures in this workbook are compiled from the sources below using proportional attribution, domain-specific reporting, and analyst estimates. All domain-level numbers are best-estimate ranges.</t>
  </si>
  <si>
    <t xml:space="preserve">Source Name</t>
  </si>
  <si>
    <t xml:space="preserve">Type</t>
  </si>
  <si>
    <t xml:space="preserve">URL / Reference</t>
  </si>
  <si>
    <t xml:space="preserve">Data Covers</t>
  </si>
  <si>
    <t xml:space="preserve">Domain Granularity</t>
  </si>
  <si>
    <t xml:space="preserve">Notes</t>
  </si>
  <si>
    <t xml:space="preserve">Layoffs.fyi</t>
  </si>
  <si>
    <t xml:space="preserve">Live Tracker</t>
  </si>
  <si>
    <t xml:space="preserve">https://layoffs.fyi</t>
  </si>
  <si>
    <t xml:space="preserve">Company-level layoffs since March 2020; updated daily</t>
  </si>
  <si>
    <t xml:space="preserve">Company-level; no domain split natively</t>
  </si>
  <si>
    <t xml:space="preserve">Primary aggregator. Creator Roger Lee tracks 1,000+ companies. Domain mapping requires manual reading of each announcement.</t>
  </si>
  <si>
    <t xml:space="preserve">TrueUp Layoffs Tracker</t>
  </si>
  <si>
    <t xml:space="preserve">https://www.trueup.io/layoffs</t>
  </si>
  <si>
    <t xml:space="preserve">2022–present; company, count, date</t>
  </si>
  <si>
    <t xml:space="preserve">Company-level; industry tags available</t>
  </si>
  <si>
    <t xml:space="preserve">Reported 783 layoff events in 2025 (245,953 people). Good for industry-level filtering.</t>
  </si>
  <si>
    <t xml:space="preserve">TechCrunch Layoff List</t>
  </si>
  <si>
    <t xml:space="preserve">News Archive</t>
  </si>
  <si>
    <t xml:space="preserve">2024–2025 detailed company announcements</t>
  </si>
  <si>
    <t xml:space="preserve">Role-type mentions (e.g. 'engineering &amp; product')</t>
  </si>
  <si>
    <t xml:space="preserve">Best source for role-type context within each layoff. Used to classify domain attribution.</t>
  </si>
  <si>
    <t xml:space="preserve">Crunchbase Tech Layoffs</t>
  </si>
  <si>
    <t xml:space="preserve">News / Tracker</t>
  </si>
  <si>
    <t xml:space="preserve">2022–2026 US tech layoffs; company &amp; count</t>
  </si>
  <si>
    <t xml:space="preserve">Company-level; startup vs public company</t>
  </si>
  <si>
    <t xml:space="preserve">Cited: ~93K layoffs 2022, ~200K 2023, ~95K 2024, ~127K 2025 (US-based companies).</t>
  </si>
  <si>
    <t xml:space="preserve">Computerworld Timeline</t>
  </si>
  <si>
    <t xml:space="preserve">2024–2026 rolling timeline of notable layoffs</t>
  </si>
  <si>
    <t xml:space="preserve">Role/team level for many entries</t>
  </si>
  <si>
    <t xml:space="preserve">Detailed Intel, Microsoft, Salesforce, Cisco role-type coverage.</t>
  </si>
  <si>
    <t xml:space="preserve">tech.co Layoff Tracker</t>
  </si>
  <si>
    <t xml:space="preserve">2022–2026 global tech layoffs</t>
  </si>
  <si>
    <t xml:space="preserve">Company + some department detail</t>
  </si>
  <si>
    <t xml:space="preserve">Good source for cybersecurity M&amp;A-related cuts (Cisco-Splunk, Sophos-Secureworks, Yahoo cyber).</t>
  </si>
  <si>
    <t xml:space="preserve">CrashBytes Analysis</t>
  </si>
  <si>
    <t xml:space="preserve">Research Blog</t>
  </si>
  <si>
    <t xml:space="preserve">2025 layoff impact on software engineers; domain breakdown</t>
  </si>
  <si>
    <t xml:space="preserve">Domain-level analysis for SWE, cyber, AI</t>
  </si>
  <si>
    <t xml:space="preserve">Sourced from TrueUp + individual company announcements. Good for role-type context.</t>
  </si>
  <si>
    <t xml:space="preserve">Salesforce Ben Analysis</t>
  </si>
  <si>
    <t xml:space="preserve">Industry Blog</t>
  </si>
  <si>
    <t xml:space="preserve">2022–2025 annual totals; domain &amp; skill trends</t>
  </si>
  <si>
    <t xml:space="preserve">Skill/domain commentary</t>
  </si>
  <si>
    <t xml:space="preserve">End-of-year summary using Layoffs.fyi data. Useful for trend narrative.</t>
  </si>
  <si>
    <t xml:space="preserve">Bloomberry (20M Job Postings)</t>
  </si>
  <si>
    <t xml:space="preserve">Research</t>
  </si>
  <si>
    <t xml:space="preserve">https://bloomberry.com/blog/how-ai-is-disrupting-the-tech-job-market-data-from-20m-job-postings/</t>
  </si>
  <si>
    <t xml:space="preserve">Nov 2022–Feb 2024; 20M job openings across 50K company sites</t>
  </si>
  <si>
    <t xml:space="preserve">Role-type: ML, DS, front-end, back-end, DevOps</t>
  </si>
  <si>
    <t xml:space="preserve">Best source for domain-specific hiring trends. AI scientists +80%, ML +70%, front-end &amp; back-end declining.</t>
  </si>
  <si>
    <t xml:space="preserve">LeadDev / TalentNeuron</t>
  </si>
  <si>
    <t xml:space="preserve">Research / Survey</t>
  </si>
  <si>
    <t xml:space="preserve">https://leaddev.com/ai/does-ai-spell-death-front-end-engineering</t>
  </si>
  <si>
    <t xml:space="preserve">Jan 2024–Jan 2025 global job postings</t>
  </si>
  <si>
    <t xml:space="preserve">Front-end vs full-stack split</t>
  </si>
  <si>
    <t xml:space="preserve">Front-end postings -25%, full-stack +9% (2024–25). AI-focused dev roles demand +125% vs 2023.</t>
  </si>
  <si>
    <t xml:space="preserve">CompTIA State of Tech Workforce 2025</t>
  </si>
  <si>
    <t xml:space="preserve">Industry Report</t>
  </si>
  <si>
    <t xml:space="preserve">https://www.techtarget.com/whatis/feature/Tech-job-market-statistics-and-outlook</t>
  </si>
  <si>
    <t xml:space="preserve">2025–2035 projected growth by tech occupation</t>
  </si>
  <si>
    <t xml:space="preserve">Domain-level: data science, cybersecurity, SWE, cloud</t>
  </si>
  <si>
    <t xml:space="preserve">414% data science growth; 367% cybersecurity; 297% SWE by 2035. Used for Outlook column.</t>
  </si>
  <si>
    <t xml:space="preserve">Robert Half 2025 Hiring Trends</t>
  </si>
  <si>
    <t xml:space="preserve">2025 in-demand tech roles &amp; salary trends</t>
  </si>
  <si>
    <t xml:space="preserve">Role-level: AI analysts, DevOps, data analysts, cloud engineers</t>
  </si>
  <si>
    <t xml:space="preserve">Confirms DevOps, cloud, cybersecurity among top 15% in-demand despite layoffs.</t>
  </si>
  <si>
    <t xml:space="preserve">Indeed Hiring Lab AI At Work 2025</t>
  </si>
  <si>
    <t xml:space="preserve">GenAI job posting growth 2024–2025</t>
  </si>
  <si>
    <t xml:space="preserve">AI/ML vs traditional SWE split</t>
  </si>
  <si>
    <t xml:space="preserve">GenAI postings +170% Jan 2024–Jan 2025; most at-risk roles: SWE, QA, PM, project managers.</t>
  </si>
  <si>
    <t xml:space="preserve">Pragmatic Engineer (Indeed/FRED data)</t>
  </si>
  <si>
    <t xml:space="preserve">https://blog.pragmaticengineer.com/software-engineer-jobs-five-year-low/</t>
  </si>
  <si>
    <t xml:space="preserve">2020–2025 software developer &amp; web dev job postings</t>
  </si>
  <si>
    <t xml:space="preserve">SWE, web dev</t>
  </si>
  <si>
    <t xml:space="preserve">SWE postings at 5-year low; -35% from 2020 peak. Web dev postings stalled from spring 2022.</t>
  </si>
  <si>
    <t xml:space="preserve">tech-insider.org / RationalFX Analysis</t>
  </si>
  <si>
    <t xml:space="preserve">Q1 2026 AI-attributed layoffs; 2023–2026 year-over-year</t>
  </si>
  <si>
    <t xml:space="preserve">AI vs non-AI attribution</t>
  </si>
  <si>
    <t xml:space="preserve">20.4% of Q1 2026 layoffs explicitly AI-attributed (9,238 of 45,363 confirmed cuts).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</si>
</sst>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4"/>
      <color rgb="FF375623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CCFFFF"/>
      </patternFill>
    </fill>
    <fill>
      <patternFill patternType="solid">
        <fgColor rgb="FFFFFFFF"/>
        <bgColor rgb="FFFFF2CC"/>
      </patternFill>
    </fill>
    <fill>
      <patternFill patternType="solid">
        <fgColor rgb="FFFFD966"/>
        <bgColor rgb="FFFFFF99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AAAAAA"/>
      <rgbColor rgb="FF1A3A5C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6" min="3" style="0" width="11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8"/>
    <col collapsed="false" customWidth="true" hidden="false" outlineLevel="0" max="12" min="11" style="0" width="52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6" hidden="false" customHeight="true" outlineLevel="0" collapsed="false"/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51.75" hidden="false" customHeight="true" outlineLevel="0" collapsed="false">
      <c r="A5" s="4" t="s">
        <v>14</v>
      </c>
      <c r="B5" s="5" t="n">
        <v>4200000</v>
      </c>
      <c r="C5" s="5" t="n">
        <v>42000</v>
      </c>
      <c r="D5" s="5" t="n">
        <v>95000</v>
      </c>
      <c r="E5" s="5" t="n">
        <v>88000</v>
      </c>
      <c r="F5" s="5" t="n">
        <v>62000</v>
      </c>
      <c r="G5" s="6" t="n">
        <f aca="false">SUM(C5:F5)</f>
        <v>287000</v>
      </c>
      <c r="H5" s="7" t="n">
        <f aca="false">G5/B5</f>
        <v>0.0683333333333333</v>
      </c>
      <c r="I5" s="7" t="n">
        <f aca="false">(F5-E5)/E5</f>
        <v>-0.295454545454545</v>
      </c>
      <c r="J5" s="8" t="s">
        <v>15</v>
      </c>
      <c r="K5" s="4" t="s">
        <v>16</v>
      </c>
      <c r="L5" s="4" t="s">
        <v>17</v>
      </c>
    </row>
    <row r="6" customFormat="false" ht="51.75" hidden="false" customHeight="true" outlineLevel="0" collapsed="false">
      <c r="A6" s="9" t="s">
        <v>18</v>
      </c>
      <c r="B6" s="10" t="n">
        <v>1800000</v>
      </c>
      <c r="C6" s="10" t="n">
        <v>18000</v>
      </c>
      <c r="D6" s="10" t="n">
        <v>46000</v>
      </c>
      <c r="E6" s="10" t="n">
        <v>38000</v>
      </c>
      <c r="F6" s="10" t="n">
        <v>24000</v>
      </c>
      <c r="G6" s="11" t="n">
        <f aca="false">SUM(C6:F6)</f>
        <v>126000</v>
      </c>
      <c r="H6" s="12" t="n">
        <f aca="false">G6/B6</f>
        <v>0.07</v>
      </c>
      <c r="I6" s="12" t="n">
        <f aca="false">(F6-E6)/E6</f>
        <v>-0.368421052631579</v>
      </c>
      <c r="J6" s="13" t="s">
        <v>15</v>
      </c>
      <c r="K6" s="9" t="s">
        <v>19</v>
      </c>
      <c r="L6" s="9" t="s">
        <v>20</v>
      </c>
    </row>
    <row r="7" customFormat="false" ht="51.75" hidden="false" customHeight="true" outlineLevel="0" collapsed="false">
      <c r="A7" s="4" t="s">
        <v>21</v>
      </c>
      <c r="B7" s="5" t="n">
        <v>950000</v>
      </c>
      <c r="C7" s="5" t="n">
        <v>8500</v>
      </c>
      <c r="D7" s="5" t="n">
        <v>21000</v>
      </c>
      <c r="E7" s="5" t="n">
        <v>19500</v>
      </c>
      <c r="F7" s="5" t="n">
        <v>11200</v>
      </c>
      <c r="G7" s="6" t="n">
        <f aca="false">SUM(C7:F7)</f>
        <v>60200</v>
      </c>
      <c r="H7" s="7" t="n">
        <f aca="false">G7/B7</f>
        <v>0.0633684210526316</v>
      </c>
      <c r="I7" s="7" t="n">
        <f aca="false">(F7-E7)/E7</f>
        <v>-0.425641025641026</v>
      </c>
      <c r="J7" s="8" t="s">
        <v>15</v>
      </c>
      <c r="K7" s="4" t="s">
        <v>22</v>
      </c>
      <c r="L7" s="4" t="s">
        <v>23</v>
      </c>
    </row>
    <row r="8" customFormat="false" ht="51.75" hidden="false" customHeight="true" outlineLevel="0" collapsed="false">
      <c r="A8" s="9" t="s">
        <v>24</v>
      </c>
      <c r="B8" s="10" t="n">
        <v>780000</v>
      </c>
      <c r="C8" s="10" t="n">
        <v>9800</v>
      </c>
      <c r="D8" s="10" t="n">
        <v>28000</v>
      </c>
      <c r="E8" s="10" t="n">
        <v>24000</v>
      </c>
      <c r="F8" s="10" t="n">
        <v>16500</v>
      </c>
      <c r="G8" s="11" t="n">
        <f aca="false">SUM(C8:F8)</f>
        <v>78300</v>
      </c>
      <c r="H8" s="12" t="n">
        <f aca="false">G8/B8</f>
        <v>0.100384615384615</v>
      </c>
      <c r="I8" s="12" t="n">
        <f aca="false">(F8-E8)/E8</f>
        <v>-0.3125</v>
      </c>
      <c r="J8" s="13" t="s">
        <v>15</v>
      </c>
      <c r="K8" s="9" t="s">
        <v>25</v>
      </c>
      <c r="L8" s="9" t="s">
        <v>26</v>
      </c>
    </row>
    <row r="9" customFormat="false" ht="51.75" hidden="false" customHeight="true" outlineLevel="0" collapsed="false">
      <c r="A9" s="4" t="s">
        <v>27</v>
      </c>
      <c r="B9" s="5" t="n">
        <v>420000</v>
      </c>
      <c r="C9" s="5" t="n">
        <v>2200</v>
      </c>
      <c r="D9" s="5" t="n">
        <v>5500</v>
      </c>
      <c r="E9" s="5" t="n">
        <v>10000</v>
      </c>
      <c r="F9" s="5" t="n">
        <v>7800</v>
      </c>
      <c r="G9" s="6" t="n">
        <f aca="false">SUM(C9:F9)</f>
        <v>25500</v>
      </c>
      <c r="H9" s="7" t="n">
        <f aca="false">G9/B9</f>
        <v>0.0607142857142857</v>
      </c>
      <c r="I9" s="7" t="n">
        <f aca="false">(F9-E9)/E9</f>
        <v>-0.22</v>
      </c>
      <c r="J9" s="8" t="s">
        <v>15</v>
      </c>
      <c r="K9" s="4" t="s">
        <v>28</v>
      </c>
      <c r="L9" s="4" t="s">
        <v>29</v>
      </c>
    </row>
    <row r="10" customFormat="false" ht="51.75" hidden="false" customHeight="true" outlineLevel="0" collapsed="false">
      <c r="A10" s="9" t="s">
        <v>30</v>
      </c>
      <c r="B10" s="10" t="n">
        <v>680000</v>
      </c>
      <c r="C10" s="10" t="n">
        <v>4100</v>
      </c>
      <c r="D10" s="10" t="n">
        <v>10500</v>
      </c>
      <c r="E10" s="10" t="n">
        <v>9800</v>
      </c>
      <c r="F10" s="10" t="n">
        <v>8200</v>
      </c>
      <c r="G10" s="11" t="n">
        <f aca="false">SUM(C10:F10)</f>
        <v>32600</v>
      </c>
      <c r="H10" s="12" t="n">
        <f aca="false">G10/B10</f>
        <v>0.0479411764705882</v>
      </c>
      <c r="I10" s="12" t="n">
        <f aca="false">(F10-E10)/E10</f>
        <v>-0.163265306122449</v>
      </c>
      <c r="J10" s="13" t="s">
        <v>15</v>
      </c>
      <c r="K10" s="9" t="s">
        <v>31</v>
      </c>
      <c r="L10" s="9" t="s">
        <v>32</v>
      </c>
    </row>
    <row r="11" customFormat="false" ht="51.75" hidden="false" customHeight="true" outlineLevel="0" collapsed="false">
      <c r="A11" s="4" t="s">
        <v>33</v>
      </c>
      <c r="B11" s="5" t="n">
        <v>1100000</v>
      </c>
      <c r="C11" s="5" t="n">
        <v>7300</v>
      </c>
      <c r="D11" s="5" t="n">
        <v>18000</v>
      </c>
      <c r="E11" s="5" t="n">
        <v>16000</v>
      </c>
      <c r="F11" s="5" t="n">
        <v>9500</v>
      </c>
      <c r="G11" s="6" t="n">
        <f aca="false">SUM(C11:F11)</f>
        <v>50800</v>
      </c>
      <c r="H11" s="7" t="n">
        <f aca="false">G11/B11</f>
        <v>0.0461818181818182</v>
      </c>
      <c r="I11" s="7" t="n">
        <f aca="false">(F11-E11)/E11</f>
        <v>-0.40625</v>
      </c>
      <c r="J11" s="8" t="s">
        <v>15</v>
      </c>
      <c r="K11" s="4" t="s">
        <v>34</v>
      </c>
      <c r="L11" s="4" t="s">
        <v>35</v>
      </c>
    </row>
    <row r="12" customFormat="false" ht="36" hidden="false" customHeight="true" outlineLevel="0" collapsed="false">
      <c r="A12" s="14" t="s">
        <v>36</v>
      </c>
      <c r="B12" s="15" t="n">
        <f aca="false">SUM(B5:B11)</f>
        <v>9930000</v>
      </c>
      <c r="C12" s="15" t="n">
        <f aca="false">SUM(C5:C11)</f>
        <v>91900</v>
      </c>
      <c r="D12" s="15" t="n">
        <f aca="false">SUM(D5:D11)</f>
        <v>224000</v>
      </c>
      <c r="E12" s="15" t="n">
        <f aca="false">SUM(E5:E11)</f>
        <v>205300</v>
      </c>
      <c r="F12" s="15" t="n">
        <f aca="false">SUM(F5:F11)</f>
        <v>139200</v>
      </c>
      <c r="G12" s="15" t="n">
        <f aca="false">SUM(G5:G11)</f>
        <v>660400</v>
      </c>
      <c r="H12" s="16" t="n">
        <f aca="false">G12/B12</f>
        <v>0.0665055387713998</v>
      </c>
      <c r="I12" s="16" t="n">
        <f aca="false">(F12-E12)/E12</f>
        <v>-0.321967851924014</v>
      </c>
      <c r="K12" s="17" t="s">
        <v>37</v>
      </c>
      <c r="L12" s="17" t="s">
        <v>38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52"/>
    <col collapsed="false" customWidth="true" hidden="false" outlineLevel="0" max="8" min="8" style="0" width="22"/>
    <col collapsed="false" customWidth="true" hidden="false" outlineLevel="0" max="9" min="9" style="0" width="50"/>
  </cols>
  <sheetData>
    <row r="1" customFormat="false" ht="30" hidden="false" customHeight="true" outlineLevel="0" collapsed="false">
      <c r="A1" s="18" t="s">
        <v>39</v>
      </c>
      <c r="B1" s="18"/>
      <c r="C1" s="18"/>
      <c r="D1" s="18"/>
      <c r="E1" s="18"/>
      <c r="F1" s="18"/>
      <c r="G1" s="18"/>
      <c r="H1" s="18"/>
      <c r="I1" s="18"/>
    </row>
    <row r="2" customFormat="false" ht="13.5" hidden="false" customHeight="true" outlineLevel="0" collapsed="false">
      <c r="A2" s="2" t="s">
        <v>40</v>
      </c>
      <c r="B2" s="2"/>
      <c r="C2" s="2"/>
      <c r="D2" s="2"/>
      <c r="E2" s="2"/>
      <c r="F2" s="2"/>
      <c r="G2" s="2"/>
      <c r="H2" s="2"/>
      <c r="I2" s="2"/>
    </row>
    <row r="3" customFormat="false" ht="4.5" hidden="false" customHeight="true" outlineLevel="0" collapsed="false"/>
    <row r="4" customFormat="false" ht="18" hidden="false" customHeight="true" outlineLevel="0" collapsed="false">
      <c r="A4" s="19" t="s">
        <v>41</v>
      </c>
      <c r="B4" s="19" t="s">
        <v>2</v>
      </c>
      <c r="C4" s="19" t="s">
        <v>42</v>
      </c>
      <c r="D4" s="19" t="s">
        <v>43</v>
      </c>
      <c r="E4" s="19" t="s">
        <v>44</v>
      </c>
      <c r="F4" s="19" t="s">
        <v>45</v>
      </c>
      <c r="G4" s="19" t="s">
        <v>46</v>
      </c>
      <c r="H4" s="19" t="s">
        <v>47</v>
      </c>
      <c r="I4" s="19" t="s">
        <v>48</v>
      </c>
    </row>
    <row r="5" customFormat="false" ht="37.5" hidden="false" customHeight="true" outlineLevel="0" collapsed="false">
      <c r="A5" s="20" t="s">
        <v>49</v>
      </c>
      <c r="B5" s="21" t="s">
        <v>14</v>
      </c>
      <c r="C5" s="21" t="n">
        <v>2023</v>
      </c>
      <c r="D5" s="5" t="n">
        <v>12000</v>
      </c>
      <c r="E5" s="21" t="s">
        <v>50</v>
      </c>
      <c r="F5" s="21" t="s">
        <v>51</v>
      </c>
      <c r="G5" s="4" t="s">
        <v>52</v>
      </c>
      <c r="H5" s="20" t="s">
        <v>53</v>
      </c>
      <c r="I5" s="20" t="s">
        <v>54</v>
      </c>
    </row>
    <row r="6" customFormat="false" ht="37.5" hidden="false" customHeight="true" outlineLevel="0" collapsed="false">
      <c r="A6" s="22" t="s">
        <v>55</v>
      </c>
      <c r="B6" s="23" t="s">
        <v>14</v>
      </c>
      <c r="C6" s="23" t="n">
        <v>2023</v>
      </c>
      <c r="D6" s="10" t="n">
        <v>18000</v>
      </c>
      <c r="E6" s="23" t="s">
        <v>56</v>
      </c>
      <c r="F6" s="23" t="s">
        <v>51</v>
      </c>
      <c r="G6" s="9" t="s">
        <v>57</v>
      </c>
      <c r="H6" s="22" t="s">
        <v>58</v>
      </c>
      <c r="I6" s="22" t="s">
        <v>59</v>
      </c>
    </row>
    <row r="7" customFormat="false" ht="37.5" hidden="false" customHeight="true" outlineLevel="0" collapsed="false">
      <c r="A7" s="20" t="s">
        <v>60</v>
      </c>
      <c r="B7" s="21" t="s">
        <v>14</v>
      </c>
      <c r="C7" s="21" t="n">
        <v>2023</v>
      </c>
      <c r="D7" s="5" t="n">
        <v>10000</v>
      </c>
      <c r="E7" s="21" t="s">
        <v>61</v>
      </c>
      <c r="F7" s="21" t="s">
        <v>51</v>
      </c>
      <c r="G7" s="4" t="s">
        <v>62</v>
      </c>
      <c r="H7" s="20" t="s">
        <v>63</v>
      </c>
      <c r="I7" s="20" t="s">
        <v>64</v>
      </c>
    </row>
    <row r="8" customFormat="false" ht="37.5" hidden="false" customHeight="true" outlineLevel="0" collapsed="false">
      <c r="A8" s="22" t="s">
        <v>65</v>
      </c>
      <c r="B8" s="23" t="s">
        <v>14</v>
      </c>
      <c r="C8" s="23" t="n">
        <v>2023</v>
      </c>
      <c r="D8" s="10" t="n">
        <v>10000</v>
      </c>
      <c r="E8" s="23" t="s">
        <v>66</v>
      </c>
      <c r="F8" s="23" t="s">
        <v>51</v>
      </c>
      <c r="G8" s="9" t="s">
        <v>67</v>
      </c>
      <c r="H8" s="22" t="s">
        <v>68</v>
      </c>
      <c r="I8" s="22" t="s">
        <v>69</v>
      </c>
    </row>
    <row r="9" customFormat="false" ht="37.5" hidden="false" customHeight="true" outlineLevel="0" collapsed="false">
      <c r="A9" s="20" t="s">
        <v>65</v>
      </c>
      <c r="B9" s="21" t="s">
        <v>14</v>
      </c>
      <c r="C9" s="21" t="n">
        <v>2025</v>
      </c>
      <c r="D9" s="5" t="n">
        <v>3600</v>
      </c>
      <c r="E9" s="21" t="s">
        <v>56</v>
      </c>
      <c r="F9" s="21" t="s">
        <v>51</v>
      </c>
      <c r="G9" s="4" t="s">
        <v>70</v>
      </c>
      <c r="H9" s="20" t="s">
        <v>63</v>
      </c>
      <c r="I9" s="20" t="s">
        <v>64</v>
      </c>
    </row>
    <row r="10" customFormat="false" ht="37.5" hidden="false" customHeight="true" outlineLevel="0" collapsed="false">
      <c r="A10" s="22" t="s">
        <v>71</v>
      </c>
      <c r="B10" s="23" t="s">
        <v>14</v>
      </c>
      <c r="C10" s="23" t="n">
        <v>2024</v>
      </c>
      <c r="D10" s="10" t="n">
        <v>15000</v>
      </c>
      <c r="E10" s="23" t="s">
        <v>72</v>
      </c>
      <c r="F10" s="23" t="s">
        <v>73</v>
      </c>
      <c r="G10" s="9" t="s">
        <v>74</v>
      </c>
      <c r="H10" s="22" t="s">
        <v>58</v>
      </c>
      <c r="I10" s="22" t="s">
        <v>59</v>
      </c>
    </row>
    <row r="11" customFormat="false" ht="37.5" hidden="false" customHeight="true" outlineLevel="0" collapsed="false">
      <c r="A11" s="20" t="s">
        <v>60</v>
      </c>
      <c r="B11" s="21" t="s">
        <v>14</v>
      </c>
      <c r="C11" s="21" t="n">
        <v>2025</v>
      </c>
      <c r="D11" s="5" t="n">
        <v>6000</v>
      </c>
      <c r="E11" s="21" t="s">
        <v>75</v>
      </c>
      <c r="F11" s="21" t="s">
        <v>51</v>
      </c>
      <c r="G11" s="4" t="s">
        <v>76</v>
      </c>
      <c r="H11" s="20" t="s">
        <v>63</v>
      </c>
      <c r="I11" s="20" t="s">
        <v>64</v>
      </c>
    </row>
    <row r="12" customFormat="false" ht="37.5" hidden="false" customHeight="true" outlineLevel="0" collapsed="false">
      <c r="A12" s="22" t="s">
        <v>77</v>
      </c>
      <c r="B12" s="23" t="s">
        <v>14</v>
      </c>
      <c r="C12" s="23" t="n">
        <v>2023</v>
      </c>
      <c r="D12" s="10" t="n">
        <v>7300</v>
      </c>
      <c r="E12" s="23" t="s">
        <v>78</v>
      </c>
      <c r="F12" s="23" t="s">
        <v>51</v>
      </c>
      <c r="G12" s="9" t="s">
        <v>79</v>
      </c>
      <c r="H12" s="22" t="s">
        <v>80</v>
      </c>
      <c r="I12" s="22" t="s">
        <v>81</v>
      </c>
    </row>
    <row r="13" customFormat="false" ht="37.5" hidden="false" customHeight="true" outlineLevel="0" collapsed="false">
      <c r="A13" s="20" t="s">
        <v>77</v>
      </c>
      <c r="B13" s="21" t="s">
        <v>14</v>
      </c>
      <c r="C13" s="21" t="n">
        <v>2025</v>
      </c>
      <c r="D13" s="5" t="n">
        <v>5000</v>
      </c>
      <c r="E13" s="21" t="s">
        <v>82</v>
      </c>
      <c r="F13" s="21" t="s">
        <v>51</v>
      </c>
      <c r="G13" s="4" t="s">
        <v>83</v>
      </c>
      <c r="H13" s="20" t="s">
        <v>80</v>
      </c>
      <c r="I13" s="20" t="s">
        <v>81</v>
      </c>
    </row>
    <row r="14" customFormat="false" ht="37.5" hidden="false" customHeight="true" outlineLevel="0" collapsed="false">
      <c r="A14" s="22" t="s">
        <v>84</v>
      </c>
      <c r="B14" s="23" t="s">
        <v>14</v>
      </c>
      <c r="C14" s="23" t="n">
        <v>2023</v>
      </c>
      <c r="D14" s="10" t="n">
        <v>1100</v>
      </c>
      <c r="E14" s="23" t="s">
        <v>85</v>
      </c>
      <c r="F14" s="23" t="s">
        <v>86</v>
      </c>
      <c r="G14" s="9" t="s">
        <v>87</v>
      </c>
      <c r="H14" s="22" t="s">
        <v>88</v>
      </c>
      <c r="I14" s="22" t="s">
        <v>89</v>
      </c>
    </row>
    <row r="15" customFormat="false" ht="37.5" hidden="false" customHeight="true" outlineLevel="0" collapsed="false">
      <c r="A15" s="20" t="s">
        <v>90</v>
      </c>
      <c r="B15" s="21" t="s">
        <v>91</v>
      </c>
      <c r="C15" s="21" t="n">
        <v>2022</v>
      </c>
      <c r="D15" s="5" t="n">
        <v>1000</v>
      </c>
      <c r="E15" s="21" t="s">
        <v>78</v>
      </c>
      <c r="F15" s="21" t="s">
        <v>92</v>
      </c>
      <c r="G15" s="4" t="s">
        <v>93</v>
      </c>
      <c r="H15" s="20" t="s">
        <v>58</v>
      </c>
      <c r="I15" s="20" t="s">
        <v>59</v>
      </c>
    </row>
    <row r="16" customFormat="false" ht="37.5" hidden="false" customHeight="true" outlineLevel="0" collapsed="false">
      <c r="A16" s="22" t="s">
        <v>94</v>
      </c>
      <c r="B16" s="23" t="s">
        <v>91</v>
      </c>
      <c r="C16" s="23" t="n">
        <v>2022</v>
      </c>
      <c r="D16" s="10" t="n">
        <v>3700</v>
      </c>
      <c r="E16" s="23" t="s">
        <v>95</v>
      </c>
      <c r="F16" s="23" t="s">
        <v>51</v>
      </c>
      <c r="G16" s="9" t="s">
        <v>96</v>
      </c>
      <c r="H16" s="22" t="s">
        <v>68</v>
      </c>
      <c r="I16" s="22" t="s">
        <v>69</v>
      </c>
    </row>
    <row r="17" customFormat="false" ht="37.5" hidden="false" customHeight="true" outlineLevel="0" collapsed="false">
      <c r="A17" s="20" t="s">
        <v>97</v>
      </c>
      <c r="B17" s="21" t="s">
        <v>91</v>
      </c>
      <c r="C17" s="21" t="n">
        <v>2022</v>
      </c>
      <c r="D17" s="5" t="n">
        <v>1200</v>
      </c>
      <c r="E17" s="21" t="s">
        <v>98</v>
      </c>
      <c r="F17" s="21" t="s">
        <v>86</v>
      </c>
      <c r="G17" s="4" t="s">
        <v>99</v>
      </c>
      <c r="H17" s="20" t="s">
        <v>58</v>
      </c>
      <c r="I17" s="20" t="s">
        <v>59</v>
      </c>
    </row>
    <row r="18" customFormat="false" ht="37.5" hidden="false" customHeight="true" outlineLevel="0" collapsed="false">
      <c r="A18" s="22" t="s">
        <v>100</v>
      </c>
      <c r="B18" s="23" t="s">
        <v>91</v>
      </c>
      <c r="C18" s="23" t="n">
        <v>2023</v>
      </c>
      <c r="D18" s="10" t="n">
        <v>500</v>
      </c>
      <c r="E18" s="23" t="s">
        <v>101</v>
      </c>
      <c r="F18" s="23" t="s">
        <v>86</v>
      </c>
      <c r="G18" s="9" t="s">
        <v>102</v>
      </c>
      <c r="H18" s="22" t="s">
        <v>58</v>
      </c>
      <c r="I18" s="22" t="s">
        <v>59</v>
      </c>
    </row>
    <row r="19" customFormat="false" ht="37.5" hidden="false" customHeight="true" outlineLevel="0" collapsed="false">
      <c r="A19" s="20" t="s">
        <v>103</v>
      </c>
      <c r="B19" s="21" t="s">
        <v>91</v>
      </c>
      <c r="C19" s="21" t="n">
        <v>2024</v>
      </c>
      <c r="D19" s="5" t="n">
        <v>70</v>
      </c>
      <c r="E19" s="21" t="s">
        <v>66</v>
      </c>
      <c r="F19" s="21" t="s">
        <v>86</v>
      </c>
      <c r="G19" s="4" t="s">
        <v>104</v>
      </c>
      <c r="H19" s="20" t="s">
        <v>68</v>
      </c>
      <c r="I19" s="20" t="s">
        <v>69</v>
      </c>
    </row>
    <row r="20" customFormat="false" ht="37.5" hidden="false" customHeight="true" outlineLevel="0" collapsed="false">
      <c r="A20" s="22" t="s">
        <v>105</v>
      </c>
      <c r="B20" s="23" t="s">
        <v>91</v>
      </c>
      <c r="C20" s="23" t="n">
        <v>2023</v>
      </c>
      <c r="D20" s="10" t="n">
        <v>400</v>
      </c>
      <c r="E20" s="23" t="s">
        <v>101</v>
      </c>
      <c r="F20" s="23" t="s">
        <v>51</v>
      </c>
      <c r="G20" s="9" t="s">
        <v>106</v>
      </c>
      <c r="H20" s="22" t="s">
        <v>58</v>
      </c>
      <c r="I20" s="22" t="s">
        <v>59</v>
      </c>
    </row>
    <row r="21" customFormat="false" ht="37.5" hidden="false" customHeight="true" outlineLevel="0" collapsed="false">
      <c r="A21" s="20" t="s">
        <v>107</v>
      </c>
      <c r="B21" s="21" t="s">
        <v>21</v>
      </c>
      <c r="C21" s="21" t="n">
        <v>2023</v>
      </c>
      <c r="D21" s="5" t="n">
        <v>3000</v>
      </c>
      <c r="E21" s="21" t="s">
        <v>108</v>
      </c>
      <c r="F21" s="21" t="s">
        <v>51</v>
      </c>
      <c r="G21" s="4" t="s">
        <v>109</v>
      </c>
      <c r="H21" s="20" t="s">
        <v>110</v>
      </c>
      <c r="I21" s="20" t="s">
        <v>54</v>
      </c>
    </row>
    <row r="22" customFormat="false" ht="37.5" hidden="false" customHeight="true" outlineLevel="0" collapsed="false">
      <c r="A22" s="22" t="s">
        <v>111</v>
      </c>
      <c r="B22" s="23" t="s">
        <v>21</v>
      </c>
      <c r="C22" s="23" t="n">
        <v>2025</v>
      </c>
      <c r="D22" s="10" t="n">
        <v>2500</v>
      </c>
      <c r="E22" s="23" t="s">
        <v>56</v>
      </c>
      <c r="F22" s="23" t="s">
        <v>51</v>
      </c>
      <c r="G22" s="9" t="s">
        <v>112</v>
      </c>
      <c r="H22" s="22" t="s">
        <v>68</v>
      </c>
      <c r="I22" s="22" t="s">
        <v>69</v>
      </c>
    </row>
    <row r="23" customFormat="false" ht="37.5" hidden="false" customHeight="true" outlineLevel="0" collapsed="false">
      <c r="A23" s="20" t="s">
        <v>113</v>
      </c>
      <c r="B23" s="21" t="s">
        <v>21</v>
      </c>
      <c r="C23" s="21" t="n">
        <v>2024</v>
      </c>
      <c r="D23" s="5" t="n">
        <v>500</v>
      </c>
      <c r="E23" s="21" t="s">
        <v>114</v>
      </c>
      <c r="F23" s="21" t="s">
        <v>86</v>
      </c>
      <c r="G23" s="4" t="s">
        <v>115</v>
      </c>
      <c r="H23" s="20" t="s">
        <v>110</v>
      </c>
      <c r="I23" s="20" t="s">
        <v>54</v>
      </c>
    </row>
    <row r="24" customFormat="false" ht="37.5" hidden="false" customHeight="true" outlineLevel="0" collapsed="false">
      <c r="A24" s="22" t="s">
        <v>116</v>
      </c>
      <c r="B24" s="23" t="s">
        <v>21</v>
      </c>
      <c r="C24" s="23" t="n">
        <v>2023</v>
      </c>
      <c r="D24" s="10" t="n">
        <v>230</v>
      </c>
      <c r="E24" s="23" t="s">
        <v>78</v>
      </c>
      <c r="F24" s="23" t="s">
        <v>86</v>
      </c>
      <c r="G24" s="9" t="s">
        <v>117</v>
      </c>
      <c r="H24" s="22" t="s">
        <v>58</v>
      </c>
      <c r="I24" s="22" t="s">
        <v>59</v>
      </c>
    </row>
    <row r="25" customFormat="false" ht="37.5" hidden="false" customHeight="true" outlineLevel="0" collapsed="false">
      <c r="A25" s="20" t="s">
        <v>118</v>
      </c>
      <c r="B25" s="21" t="s">
        <v>24</v>
      </c>
      <c r="C25" s="21" t="n">
        <v>2023</v>
      </c>
      <c r="D25" s="5" t="n">
        <v>1000</v>
      </c>
      <c r="E25" s="21" t="s">
        <v>72</v>
      </c>
      <c r="F25" s="21" t="s">
        <v>51</v>
      </c>
      <c r="G25" s="4" t="s">
        <v>119</v>
      </c>
      <c r="H25" s="20" t="s">
        <v>58</v>
      </c>
      <c r="I25" s="20" t="s">
        <v>59</v>
      </c>
    </row>
    <row r="26" customFormat="false" ht="37.5" hidden="false" customHeight="true" outlineLevel="0" collapsed="false">
      <c r="A26" s="22" t="s">
        <v>120</v>
      </c>
      <c r="B26" s="23" t="s">
        <v>24</v>
      </c>
      <c r="C26" s="23" t="n">
        <v>2025</v>
      </c>
      <c r="D26" s="10" t="n">
        <v>1750</v>
      </c>
      <c r="E26" s="23" t="s">
        <v>121</v>
      </c>
      <c r="F26" s="23" t="s">
        <v>51</v>
      </c>
      <c r="G26" s="9" t="s">
        <v>122</v>
      </c>
      <c r="H26" s="22" t="s">
        <v>63</v>
      </c>
      <c r="I26" s="22" t="s">
        <v>64</v>
      </c>
    </row>
    <row r="27" customFormat="false" ht="37.5" hidden="false" customHeight="true" outlineLevel="0" collapsed="false">
      <c r="A27" s="20" t="s">
        <v>123</v>
      </c>
      <c r="B27" s="21" t="s">
        <v>24</v>
      </c>
      <c r="C27" s="21" t="n">
        <v>2023</v>
      </c>
      <c r="D27" s="5" t="n">
        <v>1000</v>
      </c>
      <c r="E27" s="21" t="s">
        <v>50</v>
      </c>
      <c r="F27" s="21" t="s">
        <v>51</v>
      </c>
      <c r="G27" s="4" t="s">
        <v>124</v>
      </c>
      <c r="H27" s="20" t="s">
        <v>68</v>
      </c>
      <c r="I27" s="20" t="s">
        <v>69</v>
      </c>
    </row>
    <row r="28" customFormat="false" ht="37.5" hidden="false" customHeight="true" outlineLevel="0" collapsed="false">
      <c r="A28" s="22" t="s">
        <v>125</v>
      </c>
      <c r="B28" s="23" t="s">
        <v>24</v>
      </c>
      <c r="C28" s="23" t="n">
        <v>2024</v>
      </c>
      <c r="D28" s="10" t="n">
        <v>3900</v>
      </c>
      <c r="E28" s="23" t="s">
        <v>61</v>
      </c>
      <c r="F28" s="23" t="s">
        <v>51</v>
      </c>
      <c r="G28" s="9" t="s">
        <v>126</v>
      </c>
      <c r="H28" s="22" t="s">
        <v>58</v>
      </c>
      <c r="I28" s="22" t="s">
        <v>59</v>
      </c>
    </row>
    <row r="29" customFormat="false" ht="37.5" hidden="false" customHeight="true" outlineLevel="0" collapsed="false">
      <c r="A29" s="20" t="s">
        <v>127</v>
      </c>
      <c r="B29" s="21" t="s">
        <v>27</v>
      </c>
      <c r="C29" s="21" t="n">
        <v>2024</v>
      </c>
      <c r="D29" s="5" t="n">
        <v>5000</v>
      </c>
      <c r="E29" s="21" t="s">
        <v>128</v>
      </c>
      <c r="F29" s="21" t="s">
        <v>51</v>
      </c>
      <c r="G29" s="4" t="s">
        <v>129</v>
      </c>
      <c r="H29" s="20" t="s">
        <v>88</v>
      </c>
      <c r="I29" s="20" t="s">
        <v>89</v>
      </c>
    </row>
    <row r="30" customFormat="false" ht="37.5" hidden="false" customHeight="true" outlineLevel="0" collapsed="false">
      <c r="A30" s="22" t="s">
        <v>130</v>
      </c>
      <c r="B30" s="23" t="s">
        <v>27</v>
      </c>
      <c r="C30" s="23" t="n">
        <v>2024</v>
      </c>
      <c r="D30" s="10" t="n">
        <v>200</v>
      </c>
      <c r="E30" s="23" t="s">
        <v>131</v>
      </c>
      <c r="F30" s="23" t="s">
        <v>132</v>
      </c>
      <c r="G30" s="9" t="s">
        <v>133</v>
      </c>
      <c r="H30" s="22" t="s">
        <v>58</v>
      </c>
      <c r="I30" s="22" t="s">
        <v>59</v>
      </c>
    </row>
    <row r="31" customFormat="false" ht="37.5" hidden="false" customHeight="true" outlineLevel="0" collapsed="false">
      <c r="A31" s="20" t="s">
        <v>134</v>
      </c>
      <c r="B31" s="21" t="s">
        <v>27</v>
      </c>
      <c r="C31" s="21" t="n">
        <v>2024</v>
      </c>
      <c r="D31" s="5" t="n">
        <v>200</v>
      </c>
      <c r="E31" s="21" t="s">
        <v>128</v>
      </c>
      <c r="F31" s="21" t="s">
        <v>86</v>
      </c>
      <c r="G31" s="4" t="s">
        <v>135</v>
      </c>
      <c r="H31" s="20" t="s">
        <v>58</v>
      </c>
      <c r="I31" s="20" t="s">
        <v>59</v>
      </c>
    </row>
    <row r="32" customFormat="false" ht="37.5" hidden="false" customHeight="true" outlineLevel="0" collapsed="false">
      <c r="A32" s="22" t="s">
        <v>136</v>
      </c>
      <c r="B32" s="23" t="s">
        <v>30</v>
      </c>
      <c r="C32" s="23" t="n">
        <v>2024</v>
      </c>
      <c r="D32" s="10" t="n">
        <v>5600</v>
      </c>
      <c r="E32" s="23" t="s">
        <v>82</v>
      </c>
      <c r="F32" s="23" t="s">
        <v>51</v>
      </c>
      <c r="G32" s="9" t="s">
        <v>137</v>
      </c>
      <c r="H32" s="22" t="s">
        <v>68</v>
      </c>
      <c r="I32" s="22" t="s">
        <v>69</v>
      </c>
    </row>
    <row r="33" customFormat="false" ht="37.5" hidden="false" customHeight="true" outlineLevel="0" collapsed="false">
      <c r="A33" s="20" t="s">
        <v>138</v>
      </c>
      <c r="B33" s="21" t="s">
        <v>30</v>
      </c>
      <c r="C33" s="21" t="n">
        <v>2024</v>
      </c>
      <c r="D33" s="5" t="n">
        <v>900</v>
      </c>
      <c r="E33" s="21" t="s">
        <v>72</v>
      </c>
      <c r="F33" s="21" t="s">
        <v>86</v>
      </c>
      <c r="G33" s="4" t="s">
        <v>139</v>
      </c>
      <c r="H33" s="20" t="s">
        <v>58</v>
      </c>
      <c r="I33" s="20" t="s">
        <v>59</v>
      </c>
    </row>
    <row r="34" customFormat="false" ht="37.5" hidden="false" customHeight="true" outlineLevel="0" collapsed="false">
      <c r="A34" s="22" t="s">
        <v>140</v>
      </c>
      <c r="B34" s="23" t="s">
        <v>30</v>
      </c>
      <c r="C34" s="23" t="n">
        <v>2024</v>
      </c>
      <c r="D34" s="23" t="s">
        <v>141</v>
      </c>
      <c r="E34" s="23" t="s">
        <v>128</v>
      </c>
      <c r="F34" s="23" t="s">
        <v>86</v>
      </c>
      <c r="G34" s="9" t="s">
        <v>142</v>
      </c>
      <c r="H34" s="22" t="s">
        <v>68</v>
      </c>
      <c r="I34" s="22" t="s">
        <v>69</v>
      </c>
    </row>
    <row r="35" customFormat="false" ht="37.5" hidden="false" customHeight="true" outlineLevel="0" collapsed="false">
      <c r="A35" s="20" t="s">
        <v>143</v>
      </c>
      <c r="B35" s="21" t="s">
        <v>30</v>
      </c>
      <c r="C35" s="21" t="n">
        <v>2025</v>
      </c>
      <c r="D35" s="5" t="n">
        <v>130</v>
      </c>
      <c r="E35" s="21" t="s">
        <v>128</v>
      </c>
      <c r="F35" s="21" t="s">
        <v>86</v>
      </c>
      <c r="G35" s="4" t="s">
        <v>144</v>
      </c>
      <c r="H35" s="20" t="s">
        <v>63</v>
      </c>
      <c r="I35" s="20" t="s">
        <v>64</v>
      </c>
    </row>
    <row r="36" customFormat="false" ht="37.5" hidden="false" customHeight="true" outlineLevel="0" collapsed="false">
      <c r="A36" s="22" t="s">
        <v>145</v>
      </c>
      <c r="B36" s="23" t="s">
        <v>30</v>
      </c>
      <c r="C36" s="23" t="n">
        <v>2024</v>
      </c>
      <c r="D36" s="23" t="s">
        <v>146</v>
      </c>
      <c r="E36" s="23" t="s">
        <v>128</v>
      </c>
      <c r="F36" s="23" t="s">
        <v>147</v>
      </c>
      <c r="G36" s="9" t="s">
        <v>148</v>
      </c>
      <c r="H36" s="22" t="s">
        <v>68</v>
      </c>
      <c r="I36" s="22" t="s">
        <v>69</v>
      </c>
    </row>
    <row r="37" customFormat="false" ht="37.5" hidden="false" customHeight="true" outlineLevel="0" collapsed="false">
      <c r="A37" s="20" t="s">
        <v>149</v>
      </c>
      <c r="B37" s="21" t="s">
        <v>30</v>
      </c>
      <c r="C37" s="21" t="n">
        <v>2025</v>
      </c>
      <c r="D37" s="21" t="s">
        <v>150</v>
      </c>
      <c r="E37" s="21" t="s">
        <v>128</v>
      </c>
      <c r="F37" s="21" t="s">
        <v>151</v>
      </c>
      <c r="G37" s="4" t="s">
        <v>152</v>
      </c>
      <c r="H37" s="20" t="s">
        <v>88</v>
      </c>
      <c r="I37" s="20" t="s">
        <v>89</v>
      </c>
    </row>
    <row r="38" customFormat="false" ht="37.5" hidden="false" customHeight="true" outlineLevel="0" collapsed="false">
      <c r="A38" s="22" t="s">
        <v>153</v>
      </c>
      <c r="B38" s="23" t="s">
        <v>33</v>
      </c>
      <c r="C38" s="23" t="n">
        <v>2024</v>
      </c>
      <c r="D38" s="10" t="n">
        <v>6650</v>
      </c>
      <c r="E38" s="23" t="s">
        <v>56</v>
      </c>
      <c r="F38" s="23" t="s">
        <v>86</v>
      </c>
      <c r="G38" s="9" t="s">
        <v>154</v>
      </c>
      <c r="H38" s="22" t="s">
        <v>63</v>
      </c>
      <c r="I38" s="22" t="s">
        <v>64</v>
      </c>
    </row>
    <row r="39" customFormat="false" ht="37.5" hidden="false" customHeight="true" outlineLevel="0" collapsed="false">
      <c r="A39" s="20" t="s">
        <v>155</v>
      </c>
      <c r="B39" s="21" t="s">
        <v>33</v>
      </c>
      <c r="C39" s="21" t="n">
        <v>2024</v>
      </c>
      <c r="D39" s="5" t="n">
        <v>400</v>
      </c>
      <c r="E39" s="21" t="s">
        <v>75</v>
      </c>
      <c r="F39" s="21" t="s">
        <v>51</v>
      </c>
      <c r="G39" s="4" t="s">
        <v>156</v>
      </c>
      <c r="H39" s="20" t="s">
        <v>63</v>
      </c>
      <c r="I39" s="20" t="s">
        <v>64</v>
      </c>
    </row>
    <row r="40" customFormat="false" ht="37.5" hidden="false" customHeight="true" outlineLevel="0" collapsed="false">
      <c r="A40" s="22" t="s">
        <v>157</v>
      </c>
      <c r="B40" s="23" t="s">
        <v>33</v>
      </c>
      <c r="C40" s="23" t="n">
        <v>2024</v>
      </c>
      <c r="D40" s="10" t="n">
        <v>1200</v>
      </c>
      <c r="E40" s="23" t="s">
        <v>158</v>
      </c>
      <c r="F40" s="23" t="s">
        <v>92</v>
      </c>
      <c r="G40" s="9" t="s">
        <v>159</v>
      </c>
      <c r="H40" s="22" t="s">
        <v>63</v>
      </c>
      <c r="I40" s="22" t="s">
        <v>64</v>
      </c>
    </row>
    <row r="41" customFormat="false" ht="37.5" hidden="false" customHeight="true" outlineLevel="0" collapsed="false">
      <c r="A41" s="20" t="s">
        <v>107</v>
      </c>
      <c r="B41" s="21" t="s">
        <v>33</v>
      </c>
      <c r="C41" s="21" t="n">
        <v>2025</v>
      </c>
      <c r="D41" s="5" t="n">
        <v>14000</v>
      </c>
      <c r="E41" s="21" t="s">
        <v>61</v>
      </c>
      <c r="F41" s="21" t="s">
        <v>51</v>
      </c>
      <c r="G41" s="4" t="s">
        <v>160</v>
      </c>
      <c r="H41" s="20" t="s">
        <v>161</v>
      </c>
      <c r="I41" s="20" t="s">
        <v>162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2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8" t="s">
        <v>163</v>
      </c>
      <c r="B1" s="18"/>
      <c r="C1" s="18"/>
      <c r="D1" s="18"/>
      <c r="E1" s="18"/>
      <c r="F1" s="18"/>
      <c r="G1" s="18"/>
      <c r="H1" s="18"/>
    </row>
    <row r="3" customFormat="false" ht="18" hidden="false" customHeight="true" outlineLevel="0" collapsed="false">
      <c r="A3" s="19" t="s">
        <v>2</v>
      </c>
      <c r="B3" s="19" t="s">
        <v>164</v>
      </c>
      <c r="C3" s="19" t="s">
        <v>165</v>
      </c>
      <c r="D3" s="19" t="s">
        <v>166</v>
      </c>
      <c r="E3" s="19" t="s">
        <v>167</v>
      </c>
      <c r="F3" s="19" t="s">
        <v>168</v>
      </c>
      <c r="G3" s="19" t="s">
        <v>169</v>
      </c>
      <c r="H3" s="19" t="s">
        <v>170</v>
      </c>
    </row>
    <row r="4" customFormat="false" ht="19.5" hidden="false" customHeight="true" outlineLevel="0" collapsed="false">
      <c r="A4" s="20" t="s">
        <v>14</v>
      </c>
      <c r="B4" s="5" t="n">
        <v>42000</v>
      </c>
      <c r="C4" s="5" t="n">
        <v>95000</v>
      </c>
      <c r="D4" s="5" t="n">
        <v>88000</v>
      </c>
      <c r="E4" s="5" t="n">
        <v>62000</v>
      </c>
      <c r="F4" s="24" t="str">
        <f aca="false">IF(MAX(B4:E4)=B4,"2022",IF(MAX(B4:E4)=C4,"2023",IF(MAX(B4:E4)=D4,"2024","2025")))</f>
        <v>2023</v>
      </c>
      <c r="G4" s="21" t="str">
        <f aca="false">IF(MIN(B4:E4)=B4,"2022",IF(MIN(B4:E4)=C4,"2023",IF(MIN(B4:E4)=D4,"2024","2025")))</f>
        <v>2022</v>
      </c>
      <c r="H4" s="7" t="n">
        <f aca="false">(E4/B4)^(1/3)-1</f>
        <v>0.138625221847141</v>
      </c>
    </row>
    <row r="5" customFormat="false" ht="19.5" hidden="false" customHeight="true" outlineLevel="0" collapsed="false">
      <c r="A5" s="22" t="s">
        <v>171</v>
      </c>
      <c r="B5" s="10" t="n">
        <v>18000</v>
      </c>
      <c r="C5" s="10" t="n">
        <v>46000</v>
      </c>
      <c r="D5" s="10" t="n">
        <v>38000</v>
      </c>
      <c r="E5" s="10" t="n">
        <v>24000</v>
      </c>
      <c r="F5" s="25" t="str">
        <f aca="false">IF(MAX(B5:E5)=B5,"2022",IF(MAX(B5:E5)=C5,"2023",IF(MAX(B5:E5)=D5,"2024","2025")))</f>
        <v>2023</v>
      </c>
      <c r="G5" s="23" t="str">
        <f aca="false">IF(MIN(B5:E5)=B5,"2022",IF(MIN(B5:E5)=C5,"2023",IF(MIN(B5:E5)=D5,"2024","2025")))</f>
        <v>2022</v>
      </c>
      <c r="H5" s="12" t="n">
        <f aca="false">(E5/B5)^(1/3)-1</f>
        <v>0.100642416298209</v>
      </c>
    </row>
    <row r="6" customFormat="false" ht="19.5" hidden="false" customHeight="true" outlineLevel="0" collapsed="false">
      <c r="A6" s="20" t="s">
        <v>21</v>
      </c>
      <c r="B6" s="5" t="n">
        <v>8500</v>
      </c>
      <c r="C6" s="5" t="n">
        <v>21000</v>
      </c>
      <c r="D6" s="5" t="n">
        <v>19500</v>
      </c>
      <c r="E6" s="5" t="n">
        <v>11200</v>
      </c>
      <c r="F6" s="24" t="str">
        <f aca="false">IF(MAX(B6:E6)=B6,"2022",IF(MAX(B6:E6)=C6,"2023",IF(MAX(B6:E6)=D6,"2024","2025")))</f>
        <v>2023</v>
      </c>
      <c r="G6" s="21" t="str">
        <f aca="false">IF(MIN(B6:E6)=B6,"2022",IF(MIN(B6:E6)=C6,"2023",IF(MIN(B6:E6)=D6,"2024","2025")))</f>
        <v>2022</v>
      </c>
      <c r="H6" s="7" t="n">
        <f aca="false">(E6/B6)^(1/3)-1</f>
        <v>0.0963091335726973</v>
      </c>
    </row>
    <row r="7" customFormat="false" ht="19.5" hidden="false" customHeight="true" outlineLevel="0" collapsed="false">
      <c r="A7" s="22" t="s">
        <v>24</v>
      </c>
      <c r="B7" s="10" t="n">
        <v>9800</v>
      </c>
      <c r="C7" s="10" t="n">
        <v>28000</v>
      </c>
      <c r="D7" s="10" t="n">
        <v>24000</v>
      </c>
      <c r="E7" s="10" t="n">
        <v>16500</v>
      </c>
      <c r="F7" s="25" t="str">
        <f aca="false">IF(MAX(B7:E7)=B7,"2022",IF(MAX(B7:E7)=C7,"2023",IF(MAX(B7:E7)=D7,"2024","2025")))</f>
        <v>2023</v>
      </c>
      <c r="G7" s="23" t="str">
        <f aca="false">IF(MIN(B7:E7)=B7,"2022",IF(MIN(B7:E7)=C7,"2023",IF(MIN(B7:E7)=D7,"2024","2025")))</f>
        <v>2022</v>
      </c>
      <c r="H7" s="12" t="n">
        <f aca="false">(E7/B7)^(1/3)-1</f>
        <v>0.189650220713447</v>
      </c>
    </row>
    <row r="8" customFormat="false" ht="19.5" hidden="false" customHeight="true" outlineLevel="0" collapsed="false">
      <c r="A8" s="20" t="s">
        <v>27</v>
      </c>
      <c r="B8" s="5" t="n">
        <v>2200</v>
      </c>
      <c r="C8" s="5" t="n">
        <v>5500</v>
      </c>
      <c r="D8" s="5" t="n">
        <v>10000</v>
      </c>
      <c r="E8" s="5" t="n">
        <v>7800</v>
      </c>
      <c r="F8" s="24" t="str">
        <f aca="false">IF(MAX(B8:E8)=B8,"2022",IF(MAX(B8:E8)=C8,"2023",IF(MAX(B8:E8)=D8,"2024","2025")))</f>
        <v>2024</v>
      </c>
      <c r="G8" s="21" t="str">
        <f aca="false">IF(MIN(B8:E8)=B8,"2022",IF(MIN(B8:E8)=C8,"2023",IF(MIN(B8:E8)=D8,"2024","2025")))</f>
        <v>2022</v>
      </c>
      <c r="H8" s="7" t="n">
        <f aca="false">(E8/B8)^(1/3)-1</f>
        <v>0.524838939608516</v>
      </c>
    </row>
    <row r="9" customFormat="false" ht="19.5" hidden="false" customHeight="true" outlineLevel="0" collapsed="false">
      <c r="A9" s="22" t="s">
        <v>30</v>
      </c>
      <c r="B9" s="10" t="n">
        <v>4100</v>
      </c>
      <c r="C9" s="10" t="n">
        <v>10500</v>
      </c>
      <c r="D9" s="10" t="n">
        <v>9800</v>
      </c>
      <c r="E9" s="10" t="n">
        <v>8200</v>
      </c>
      <c r="F9" s="25" t="str">
        <f aca="false">IF(MAX(B9:E9)=B9,"2022",IF(MAX(B9:E9)=C9,"2023",IF(MAX(B9:E9)=D9,"2024","2025")))</f>
        <v>2023</v>
      </c>
      <c r="G9" s="23" t="str">
        <f aca="false">IF(MIN(B9:E9)=B9,"2022",IF(MIN(B9:E9)=C9,"2023",IF(MIN(B9:E9)=D9,"2024","2025")))</f>
        <v>2022</v>
      </c>
      <c r="H9" s="12" t="n">
        <f aca="false">(E9/B9)^(1/3)-1</f>
        <v>0.259921049894873</v>
      </c>
    </row>
    <row r="10" customFormat="false" ht="19.5" hidden="false" customHeight="true" outlineLevel="0" collapsed="false">
      <c r="A10" s="20" t="s">
        <v>33</v>
      </c>
      <c r="B10" s="5" t="n">
        <v>7300</v>
      </c>
      <c r="C10" s="5" t="n">
        <v>18000</v>
      </c>
      <c r="D10" s="5" t="n">
        <v>16000</v>
      </c>
      <c r="E10" s="5" t="n">
        <v>9500</v>
      </c>
      <c r="F10" s="24" t="str">
        <f aca="false">IF(MAX(B10:E10)=B10,"2022",IF(MAX(B10:E10)=C10,"2023",IF(MAX(B10:E10)=D10,"2024","2025")))</f>
        <v>2023</v>
      </c>
      <c r="G10" s="21" t="str">
        <f aca="false">IF(MIN(B10:E10)=B10,"2022",IF(MIN(B10:E10)=C10,"2023",IF(MIN(B10:E10)=D10,"2024","2025")))</f>
        <v>2022</v>
      </c>
      <c r="H10" s="7" t="n">
        <f aca="false">(E10/B10)^(1/3)-1</f>
        <v>0.091776096885807</v>
      </c>
    </row>
    <row r="11" customFormat="false" ht="15" hidden="false" customHeight="false" outlineLevel="0" collapsed="false">
      <c r="A11" s="14" t="s">
        <v>172</v>
      </c>
      <c r="B11" s="15" t="n">
        <f aca="false">SUM(B4:B10)</f>
        <v>91900</v>
      </c>
      <c r="C11" s="15" t="n">
        <f aca="false">SUM(C4:C10)</f>
        <v>224000</v>
      </c>
      <c r="D11" s="15" t="n">
        <f aca="false">SUM(D4:D10)</f>
        <v>205300</v>
      </c>
      <c r="E11" s="15" t="n">
        <f aca="false">SUM(E4:E10)</f>
        <v>139200</v>
      </c>
      <c r="H11" s="16" t="n">
        <f aca="false">(E11/B11)^(1/3)-1</f>
        <v>0.148438935532965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38"/>
    <col collapsed="false" customWidth="true" hidden="false" outlineLevel="0" max="5" min="5" style="0" width="28"/>
    <col collapsed="false" customWidth="true" hidden="false" outlineLevel="0" max="6" min="6" style="0" width="58"/>
  </cols>
  <sheetData>
    <row r="1" customFormat="false" ht="30" hidden="false" customHeight="true" outlineLevel="0" collapsed="false">
      <c r="A1" s="18" t="s">
        <v>173</v>
      </c>
      <c r="B1" s="18"/>
      <c r="C1" s="18"/>
      <c r="D1" s="18"/>
      <c r="E1" s="18"/>
      <c r="F1" s="18"/>
    </row>
    <row r="2" customFormat="false" ht="30" hidden="false" customHeight="true" outlineLevel="0" collapsed="false">
      <c r="A2" s="26" t="s">
        <v>174</v>
      </c>
      <c r="B2" s="26"/>
      <c r="C2" s="26"/>
      <c r="D2" s="26"/>
      <c r="E2" s="26"/>
      <c r="F2" s="26"/>
    </row>
    <row r="3" customFormat="false" ht="4.5" hidden="false" customHeight="true" outlineLevel="0" collapsed="false"/>
    <row r="4" customFormat="false" ht="18" hidden="false" customHeight="true" outlineLevel="0" collapsed="false">
      <c r="A4" s="19" t="s">
        <v>175</v>
      </c>
      <c r="B4" s="19" t="s">
        <v>176</v>
      </c>
      <c r="C4" s="19" t="s">
        <v>177</v>
      </c>
      <c r="D4" s="19" t="s">
        <v>178</v>
      </c>
      <c r="E4" s="19" t="s">
        <v>179</v>
      </c>
      <c r="F4" s="19" t="s">
        <v>180</v>
      </c>
    </row>
    <row r="5" customFormat="false" ht="51.75" hidden="false" customHeight="true" outlineLevel="0" collapsed="false">
      <c r="A5" s="4" t="s">
        <v>181</v>
      </c>
      <c r="B5" s="27" t="s">
        <v>182</v>
      </c>
      <c r="C5" s="4" t="s">
        <v>183</v>
      </c>
      <c r="D5" s="4" t="s">
        <v>184</v>
      </c>
      <c r="E5" s="4" t="s">
        <v>185</v>
      </c>
      <c r="F5" s="4" t="s">
        <v>186</v>
      </c>
    </row>
    <row r="6" customFormat="false" ht="51.75" hidden="false" customHeight="true" outlineLevel="0" collapsed="false">
      <c r="A6" s="9" t="s">
        <v>187</v>
      </c>
      <c r="B6" s="28" t="s">
        <v>182</v>
      </c>
      <c r="C6" s="9" t="s">
        <v>188</v>
      </c>
      <c r="D6" s="9" t="s">
        <v>189</v>
      </c>
      <c r="E6" s="9" t="s">
        <v>190</v>
      </c>
      <c r="F6" s="9" t="s">
        <v>191</v>
      </c>
    </row>
    <row r="7" customFormat="false" ht="51.75" hidden="false" customHeight="true" outlineLevel="0" collapsed="false">
      <c r="A7" s="4" t="s">
        <v>192</v>
      </c>
      <c r="B7" s="27" t="s">
        <v>193</v>
      </c>
      <c r="C7" s="4" t="s">
        <v>59</v>
      </c>
      <c r="D7" s="4" t="s">
        <v>194</v>
      </c>
      <c r="E7" s="4" t="s">
        <v>195</v>
      </c>
      <c r="F7" s="4" t="s">
        <v>196</v>
      </c>
    </row>
    <row r="8" customFormat="false" ht="51.75" hidden="false" customHeight="true" outlineLevel="0" collapsed="false">
      <c r="A8" s="9" t="s">
        <v>197</v>
      </c>
      <c r="B8" s="28" t="s">
        <v>198</v>
      </c>
      <c r="C8" s="9" t="s">
        <v>54</v>
      </c>
      <c r="D8" s="9" t="s">
        <v>199</v>
      </c>
      <c r="E8" s="9" t="s">
        <v>200</v>
      </c>
      <c r="F8" s="9" t="s">
        <v>201</v>
      </c>
    </row>
    <row r="9" customFormat="false" ht="51.75" hidden="false" customHeight="true" outlineLevel="0" collapsed="false">
      <c r="A9" s="4" t="s">
        <v>202</v>
      </c>
      <c r="B9" s="27" t="s">
        <v>193</v>
      </c>
      <c r="C9" s="4" t="s">
        <v>64</v>
      </c>
      <c r="D9" s="4" t="s">
        <v>203</v>
      </c>
      <c r="E9" s="4" t="s">
        <v>204</v>
      </c>
      <c r="F9" s="4" t="s">
        <v>205</v>
      </c>
    </row>
    <row r="10" customFormat="false" ht="51.75" hidden="false" customHeight="true" outlineLevel="0" collapsed="false">
      <c r="A10" s="9" t="s">
        <v>206</v>
      </c>
      <c r="B10" s="28" t="s">
        <v>198</v>
      </c>
      <c r="C10" s="9" t="s">
        <v>69</v>
      </c>
      <c r="D10" s="9" t="s">
        <v>207</v>
      </c>
      <c r="E10" s="9" t="s">
        <v>208</v>
      </c>
      <c r="F10" s="9" t="s">
        <v>209</v>
      </c>
    </row>
    <row r="11" customFormat="false" ht="51.75" hidden="false" customHeight="true" outlineLevel="0" collapsed="false">
      <c r="A11" s="4" t="s">
        <v>210</v>
      </c>
      <c r="B11" s="27" t="s">
        <v>211</v>
      </c>
      <c r="C11" s="4" t="s">
        <v>89</v>
      </c>
      <c r="D11" s="4" t="s">
        <v>212</v>
      </c>
      <c r="E11" s="4" t="s">
        <v>213</v>
      </c>
      <c r="F11" s="4" t="s">
        <v>214</v>
      </c>
    </row>
    <row r="12" customFormat="false" ht="51.75" hidden="false" customHeight="true" outlineLevel="0" collapsed="false">
      <c r="A12" s="9" t="s">
        <v>215</v>
      </c>
      <c r="B12" s="28" t="s">
        <v>216</v>
      </c>
      <c r="C12" s="9" t="s">
        <v>81</v>
      </c>
      <c r="D12" s="9" t="s">
        <v>217</v>
      </c>
      <c r="E12" s="9" t="s">
        <v>218</v>
      </c>
      <c r="F12" s="9" t="s">
        <v>219</v>
      </c>
    </row>
    <row r="13" customFormat="false" ht="51.75" hidden="false" customHeight="true" outlineLevel="0" collapsed="false">
      <c r="A13" s="4" t="s">
        <v>220</v>
      </c>
      <c r="B13" s="27" t="s">
        <v>221</v>
      </c>
      <c r="C13" s="4" t="s">
        <v>222</v>
      </c>
      <c r="D13" s="4" t="s">
        <v>223</v>
      </c>
      <c r="E13" s="4" t="s">
        <v>224</v>
      </c>
      <c r="F13" s="4" t="s">
        <v>225</v>
      </c>
    </row>
    <row r="14" customFormat="false" ht="51.75" hidden="false" customHeight="true" outlineLevel="0" collapsed="false">
      <c r="A14" s="9" t="s">
        <v>226</v>
      </c>
      <c r="B14" s="28" t="s">
        <v>227</v>
      </c>
      <c r="C14" s="9" t="s">
        <v>228</v>
      </c>
      <c r="D14" s="9" t="s">
        <v>229</v>
      </c>
      <c r="E14" s="9" t="s">
        <v>230</v>
      </c>
      <c r="F14" s="9" t="s">
        <v>231</v>
      </c>
    </row>
    <row r="15" customFormat="false" ht="51.75" hidden="false" customHeight="true" outlineLevel="0" collapsed="false">
      <c r="A15" s="4" t="s">
        <v>232</v>
      </c>
      <c r="B15" s="27" t="s">
        <v>233</v>
      </c>
      <c r="C15" s="4" t="s">
        <v>234</v>
      </c>
      <c r="D15" s="4" t="s">
        <v>235</v>
      </c>
      <c r="E15" s="4" t="s">
        <v>236</v>
      </c>
      <c r="F15" s="4" t="s">
        <v>237</v>
      </c>
    </row>
    <row r="16" customFormat="false" ht="51.75" hidden="false" customHeight="true" outlineLevel="0" collapsed="false">
      <c r="A16" s="9" t="s">
        <v>238</v>
      </c>
      <c r="B16" s="28" t="s">
        <v>233</v>
      </c>
      <c r="C16" s="9" t="s">
        <v>234</v>
      </c>
      <c r="D16" s="9" t="s">
        <v>239</v>
      </c>
      <c r="E16" s="9" t="s">
        <v>240</v>
      </c>
      <c r="F16" s="9" t="s">
        <v>241</v>
      </c>
    </row>
    <row r="17" customFormat="false" ht="51.75" hidden="false" customHeight="true" outlineLevel="0" collapsed="false">
      <c r="A17" s="4" t="s">
        <v>242</v>
      </c>
      <c r="B17" s="27" t="s">
        <v>221</v>
      </c>
      <c r="C17" s="4" t="s">
        <v>234</v>
      </c>
      <c r="D17" s="4" t="s">
        <v>243</v>
      </c>
      <c r="E17" s="4" t="s">
        <v>244</v>
      </c>
      <c r="F17" s="4" t="s">
        <v>245</v>
      </c>
    </row>
    <row r="18" customFormat="false" ht="51.75" hidden="false" customHeight="true" outlineLevel="0" collapsed="false">
      <c r="A18" s="9" t="s">
        <v>246</v>
      </c>
      <c r="B18" s="28" t="s">
        <v>211</v>
      </c>
      <c r="C18" s="9" t="s">
        <v>247</v>
      </c>
      <c r="D18" s="9" t="s">
        <v>248</v>
      </c>
      <c r="E18" s="9" t="s">
        <v>249</v>
      </c>
      <c r="F18" s="9" t="s">
        <v>250</v>
      </c>
    </row>
    <row r="19" customFormat="false" ht="51.75" hidden="false" customHeight="true" outlineLevel="0" collapsed="false">
      <c r="A19" s="4" t="s">
        <v>251</v>
      </c>
      <c r="B19" s="27" t="s">
        <v>221</v>
      </c>
      <c r="C19" s="4" t="s">
        <v>162</v>
      </c>
      <c r="D19" s="4" t="s">
        <v>252</v>
      </c>
      <c r="E19" s="4" t="s">
        <v>253</v>
      </c>
      <c r="F19" s="4" t="s">
        <v>254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2026-04-08T10:59:31Z</dcterms:created>
  <dc:creator>openpyxl</dc:creator>
  <dc:description/>
  <dc:language>en-US</dc:language>
  <cp:lastModifiedBy/>
  <dcterms:modified xsi:type="dcterms:W3CDTF">2026-04-08T10:59:31Z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